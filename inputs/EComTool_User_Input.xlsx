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140" documentId="13_ncr:1_{74C3A6B0-0831-47EE-BF60-0A94E28102FE}" xr6:coauthVersionLast="47" xr6:coauthVersionMax="47" xr10:uidLastSave="{AF01CB18-2331-4D07-96BD-9793D966B128}"/>
  <bookViews>
    <workbookView xWindow="-110" yWindow="-110" windowWidth="19420" windowHeight="10300" xr2:uid="{00000000-000D-0000-FFFF-FFFF00000000}"/>
  </bookViews>
  <sheets>
    <sheet name="Input" sheetId="5" r:id="rId1"/>
    <sheet name="Geography" sheetId="2" r:id="rId2"/>
    <sheet name="Consumers" sheetId="3" r:id="rId3"/>
    <sheet name="Profiles" sheetId="4" r:id="rId4"/>
    <sheet name="Tariffs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0" i="5" l="1"/>
</calcChain>
</file>

<file path=xl/sharedStrings.xml><?xml version="1.0" encoding="utf-8"?>
<sst xmlns="http://schemas.openxmlformats.org/spreadsheetml/2006/main" count="295" uniqueCount="230">
  <si>
    <t>Geography</t>
  </si>
  <si>
    <t>Country</t>
  </si>
  <si>
    <t>City</t>
  </si>
  <si>
    <t>Area Type</t>
  </si>
  <si>
    <t>From Grid</t>
  </si>
  <si>
    <t>To Grid</t>
  </si>
  <si>
    <t>Ukraine</t>
  </si>
  <si>
    <t>Berdychiv (Zhytomyr Oblast)</t>
  </si>
  <si>
    <t>Dynamic</t>
  </si>
  <si>
    <t>ECom Assets</t>
  </si>
  <si>
    <t>Asset Type</t>
  </si>
  <si>
    <t>Parameter/Value</t>
  </si>
  <si>
    <t>Existing PV Installed Power, kW</t>
  </si>
  <si>
    <t>Projected PV Installed Power, kW</t>
  </si>
  <si>
    <t>PV Profile</t>
  </si>
  <si>
    <t>Database, PVGIS</t>
  </si>
  <si>
    <t># select an option from the drop-down list</t>
  </si>
  <si>
    <t>Existing EV Number</t>
  </si>
  <si>
    <t>Projected EV Number</t>
  </si>
  <si>
    <t>EV Home Charging Profile</t>
  </si>
  <si>
    <t>Database</t>
  </si>
  <si>
    <t>EV Public Charging Profile</t>
  </si>
  <si>
    <t>EV Workplace Charging Profile</t>
  </si>
  <si>
    <t>EV Fast Charging Profile</t>
  </si>
  <si>
    <t>EV Home Charging, %</t>
  </si>
  <si>
    <t>EV Public Charging, %</t>
  </si>
  <si>
    <t>EV Workplace Charging, %</t>
  </si>
  <si>
    <t>EV Fast Charging, %</t>
  </si>
  <si>
    <t>Smart Charging Participation, %</t>
  </si>
  <si>
    <t>Smart EV Home Charging Profile</t>
  </si>
  <si>
    <t>Smart EV Public Charging Profile</t>
  </si>
  <si>
    <t>ECom Participants</t>
  </si>
  <si>
    <t>ECom Participant ID</t>
  </si>
  <si>
    <t>Category</t>
  </si>
  <si>
    <t>Type</t>
  </si>
  <si>
    <t>Number</t>
  </si>
  <si>
    <t>Annual consumption, kWh</t>
  </si>
  <si>
    <t>Load Profile</t>
  </si>
  <si>
    <t>Comment</t>
  </si>
  <si>
    <t>Participant 1</t>
  </si>
  <si>
    <t>Residential</t>
  </si>
  <si>
    <t>Apartment Building (27 apt, low energy efficiency)</t>
  </si>
  <si>
    <t>Participant 2</t>
  </si>
  <si>
    <t>Commercial</t>
  </si>
  <si>
    <t>Shop (big, &gt; 200,000 kWh/annum)</t>
  </si>
  <si>
    <t/>
  </si>
  <si>
    <t>Participant 3</t>
  </si>
  <si>
    <t>Educational</t>
  </si>
  <si>
    <t>Participant 4</t>
  </si>
  <si>
    <t>School (≈ 55,000 kWh/annum)</t>
  </si>
  <si>
    <t>Participant 5</t>
  </si>
  <si>
    <t>Industrial</t>
  </si>
  <si>
    <t>Industry (small, ≈ 100,000 kWh/annum)</t>
  </si>
  <si>
    <t>Participant 6</t>
  </si>
  <si>
    <t>Private House (medium big, 10,000-20,000 kWh/annum)</t>
  </si>
  <si>
    <t/>
  </si>
  <si>
    <t>Participant 7</t>
  </si>
  <si>
    <t>Participant 8</t>
  </si>
  <si>
    <t>Participant 9</t>
  </si>
  <si>
    <t>Participant 10</t>
  </si>
  <si>
    <t>Participant 11</t>
  </si>
  <si>
    <t>Participant 12</t>
  </si>
  <si>
    <t>Participant 13</t>
  </si>
  <si>
    <t>Participant 14</t>
  </si>
  <si>
    <t>Participant 15</t>
  </si>
  <si>
    <t>Participant 16</t>
  </si>
  <si>
    <t>Participant 17</t>
  </si>
  <si>
    <t>Participant 18</t>
  </si>
  <si>
    <t>Participant 19</t>
  </si>
  <si>
    <t>Participant 20</t>
  </si>
  <si>
    <t>Participant 21</t>
  </si>
  <si>
    <t>Participant 22</t>
  </si>
  <si>
    <t>Participant 23</t>
  </si>
  <si>
    <t>Participant 24</t>
  </si>
  <si>
    <t>Participant 25</t>
  </si>
  <si>
    <t>Participant 26</t>
  </si>
  <si>
    <t>Participant 27</t>
  </si>
  <si>
    <t>Participant 28</t>
  </si>
  <si>
    <t>Participant 29</t>
  </si>
  <si>
    <t>Participant 30</t>
  </si>
  <si>
    <t>Participant 31</t>
  </si>
  <si>
    <t>Participant 32</t>
  </si>
  <si>
    <t>Participant 33</t>
  </si>
  <si>
    <t>Participant 34</t>
  </si>
  <si>
    <t>Participant 35</t>
  </si>
  <si>
    <t>Participant 36</t>
  </si>
  <si>
    <t>Participant 37</t>
  </si>
  <si>
    <t>Participant 38</t>
  </si>
  <si>
    <t>Participant 39</t>
  </si>
  <si>
    <t>Participant 40</t>
  </si>
  <si>
    <t>Participant 41</t>
  </si>
  <si>
    <t>Participant 42</t>
  </si>
  <si>
    <t>Participant 43</t>
  </si>
  <si>
    <t>Participant 44</t>
  </si>
  <si>
    <t>Participant 45</t>
  </si>
  <si>
    <t>Participant 46</t>
  </si>
  <si>
    <t>Participant 47</t>
  </si>
  <si>
    <t>Participant 48</t>
  </si>
  <si>
    <t>Participant 49</t>
  </si>
  <si>
    <t>Participant 50</t>
  </si>
  <si>
    <t># unhide rows 45-84 to enter more ECom participants</t>
  </si>
  <si>
    <t>Other Settings</t>
  </si>
  <si>
    <t>Parameter</t>
  </si>
  <si>
    <t>Value</t>
  </si>
  <si>
    <t>From Grid Own Fixed Tariff, €/kWh</t>
  </si>
  <si>
    <t># used only with Own Fixed in the Geography section</t>
  </si>
  <si>
    <t>To Grid Own Fixed Tariff, €/kWh</t>
  </si>
  <si>
    <t>PV Degradation, %</t>
  </si>
  <si>
    <t># enter a number between 0.1 and 2</t>
  </si>
  <si>
    <t>Age of Existing PV Installations, years</t>
  </si>
  <si>
    <t>Planning Horizon, years</t>
  </si>
  <si>
    <t>PV Adoption Trajectory</t>
  </si>
  <si>
    <t>EV Adoption Trajectory</t>
  </si>
  <si>
    <t>Annual Load Growth Rate, %</t>
  </si>
  <si>
    <t># enter a number between 0.01 and 100</t>
  </si>
  <si>
    <t>Latvia</t>
  </si>
  <si>
    <t>Cēsis (Cēsis Municipality)</t>
  </si>
  <si>
    <t>Berestyn (Kharkivs’ka Oblast)</t>
  </si>
  <si>
    <t>Daugavpils (Daugavpils Municipality)</t>
  </si>
  <si>
    <t>Jelgava (Jelgava Municipality)</t>
  </si>
  <si>
    <t>Berehove (Zakarpattia Oblast)</t>
  </si>
  <si>
    <t>Jūrmala (Jūrmala Municipality)</t>
  </si>
  <si>
    <t>Bila Tserkva (Kyiv Oblast)</t>
  </si>
  <si>
    <t>Liepāja (Liepāja Municipality)</t>
  </si>
  <si>
    <t>Bilhorod-Dnistrovskyi (Odessa Oblast)</t>
  </si>
  <si>
    <t>Nāgelmuiža (Ropaži Municipality)</t>
  </si>
  <si>
    <t>Boryspil (Kyiv Oblast)</t>
  </si>
  <si>
    <t>Pļaviņas (Aizkraukle Municipality)</t>
  </si>
  <si>
    <t>Brovary (Kyiv Oblast)</t>
  </si>
  <si>
    <t>Rēzekne (Rēzekne Municipality)</t>
  </si>
  <si>
    <t>Bukivka (Chernivtsi Oblast)</t>
  </si>
  <si>
    <t>Riga (Riga Municipality)</t>
  </si>
  <si>
    <t>Burshtyn (Ivano-Frankivsk Oblast)</t>
  </si>
  <si>
    <t>Talsi (Talsi Municipality)</t>
  </si>
  <si>
    <t>Cherkasy (Cherkasy Oblast)</t>
  </si>
  <si>
    <t>Ulbroka (Ropaži Municipality)</t>
  </si>
  <si>
    <t>Chernihiv (Chernihiv Oblast)</t>
  </si>
  <si>
    <t>Valmiera (Valmiera Municipality)</t>
  </si>
  <si>
    <t>Chernivtsi (Chernivtsi Oblast)</t>
  </si>
  <si>
    <t>Ventspils (Ventspils Municipality)</t>
  </si>
  <si>
    <t>Dnipro (Dnipropetrovsk Oblast)</t>
  </si>
  <si>
    <t>Dolyna (Ivano-Frankivsk Oblast)</t>
  </si>
  <si>
    <t>Donetsk (Donetsk Oblast)</t>
  </si>
  <si>
    <t>Drabiv (Cherkasy Oblast)</t>
  </si>
  <si>
    <t>Drohobych (Lviv Oblast)</t>
  </si>
  <si>
    <t>Fastiv (Kyiv Oblast)</t>
  </si>
  <si>
    <t>Hatne (Kyiv Oblast)</t>
  </si>
  <si>
    <t>Hayvoron (Kirovohrad Oblast)</t>
  </si>
  <si>
    <t>Horishni Plavni (Poltava Oblast)</t>
  </si>
  <si>
    <t>Horodok (Lviv Oblast)</t>
  </si>
  <si>
    <t>Irpin (Kyiv Oblast)</t>
  </si>
  <si>
    <t>Irshava (Zakarpattia Oblast)</t>
  </si>
  <si>
    <t>Ivano-Frankivsk (Ivano-Frankivsk Oblast)</t>
  </si>
  <si>
    <t>Kaharlyk (Kyiv Oblast)</t>
  </si>
  <si>
    <t>Kamianets-Podilskyi (Khmelnytskyi Oblast)</t>
  </si>
  <si>
    <t>Kamianske (Dnipropetrovsk Oblast)</t>
  </si>
  <si>
    <t>Kharkiv (Kharkiv Oblast)</t>
  </si>
  <si>
    <t>Kherson (Kherson Oblast)</t>
  </si>
  <si>
    <t>Khmelnytskyi (Khmelnytskyi Oblast)</t>
  </si>
  <si>
    <t>Khorol (Poltava Oblast)</t>
  </si>
  <si>
    <t>Kolomyia (Ivano-Frankivsk Oblast)</t>
  </si>
  <si>
    <t>Kremenchuk (Poltava Oblast)</t>
  </si>
  <si>
    <t>Kropyvnytskyi (Kirovohrad Oblast)</t>
  </si>
  <si>
    <t>Kryvyi Rih (Dnipropetrovsk Oblast)</t>
  </si>
  <si>
    <t>Kyiv (Kyiv City)</t>
  </si>
  <si>
    <t>Luhansk (Luhansk Oblast)</t>
  </si>
  <si>
    <t>Lutsk (Volyn Oblast)</t>
  </si>
  <si>
    <t>Lviv (Lviv Oblast)</t>
  </si>
  <si>
    <t>Mukachevo (Zakarpattia Oblast)</t>
  </si>
  <si>
    <t>Mykolaiv (Lviv Oblast)</t>
  </si>
  <si>
    <t>Mykolayiv (Mykolaiv Oblast)</t>
  </si>
  <si>
    <t>Odesa (Odessa Oblast)</t>
  </si>
  <si>
    <t>Osipenko (Zaporizhzhia Oblast)</t>
  </si>
  <si>
    <t>Ovidiopol (Odessa Oblast)</t>
  </si>
  <si>
    <t>Pavlohrad (Dnipropetrovsk Oblast)</t>
  </si>
  <si>
    <t>Pereiaslav (Kyiv Oblast)</t>
  </si>
  <si>
    <t>Petropavlivska Borshchahivka (Kyiv Oblast)</t>
  </si>
  <si>
    <t>Pidvolochysk (Ternopil Oblast)</t>
  </si>
  <si>
    <t>Poltava (Poltava Oblast)</t>
  </si>
  <si>
    <t>Rivne (Rivne Oblast)</t>
  </si>
  <si>
    <t>Sevastopol (Autonomous Republic of Crimea)</t>
  </si>
  <si>
    <t>Shostka (Sumy Oblast)</t>
  </si>
  <si>
    <t>Shyroke (Dnipropetrovsk Oblast)</t>
  </si>
  <si>
    <t>Simferopol (Autonomous Republic of Crimea)</t>
  </si>
  <si>
    <t>Smila (Cherkasy Oblast)</t>
  </si>
  <si>
    <t>Stryi (Lviv Oblast)</t>
  </si>
  <si>
    <t>Sumy (Sumy Oblast)</t>
  </si>
  <si>
    <t>Ternopil (Ternopil Oblast)</t>
  </si>
  <si>
    <t>Uzhhorod (Zakarpattia Oblast)</t>
  </si>
  <si>
    <t>Vinnytsia (Vinnytsia Oblast)</t>
  </si>
  <si>
    <t>Vyshneve (Kyiv Oblast)</t>
  </si>
  <si>
    <t>Zaporizhzhya (Zaporizhzhia Oblast)</t>
  </si>
  <si>
    <t>Zavodske (Poltava Oblast)</t>
  </si>
  <si>
    <t>Zhashkiv (Cherkasy Oblast)</t>
  </si>
  <si>
    <t>Zhydachiv (Lviv Oblast)</t>
  </si>
  <si>
    <t>Zolochiv (Lviv Oblast)</t>
  </si>
  <si>
    <t>Zolotonosha (Cherkasy Oblast)</t>
  </si>
  <si>
    <t>Private House (medium small, &lt; 10,000 kWh/annum)</t>
  </si>
  <si>
    <t>Shop (small, &lt; 150,000 kWh/annum)</t>
  </si>
  <si>
    <r>
      <t>Kindergarten (</t>
    </r>
    <r>
      <rPr>
        <sz val="11"/>
        <color theme="1"/>
        <rFont val="Aptos Narrow"/>
        <family val="2"/>
      </rPr>
      <t xml:space="preserve">≈ </t>
    </r>
    <r>
      <rPr>
        <sz val="11"/>
        <color theme="1"/>
        <rFont val="Aptos Narrow"/>
        <family val="2"/>
      </rPr>
      <t>20,000 kWh/annum)</t>
    </r>
  </si>
  <si>
    <t>Private House (big, &gt;20,000 kWh/annum)</t>
  </si>
  <si>
    <t>Hotel (≈ 100,000 kWh/annum)</t>
  </si>
  <si>
    <t>Apartment Building (16 apt, low energy efficiency)</t>
  </si>
  <si>
    <t>Bank (≈ 100,000 kWh/annum)</t>
  </si>
  <si>
    <t>Apartment Building (16 apt, high energy efficiency)</t>
  </si>
  <si>
    <t>Apartment Building (27 apt, high energy efficiency)</t>
  </si>
  <si>
    <t>Apartment Building (31 apt, low energy efficiency)</t>
  </si>
  <si>
    <t>Apartment Building (31 apt, high energy efficiency)</t>
  </si>
  <si>
    <t>Apartment Building (54 apt, low energy efficiency)</t>
  </si>
  <si>
    <t>Apartment Building (54 apt, high energy efficiency)</t>
  </si>
  <si>
    <t>Apartment Building (66 apt, low energy efficiency)</t>
  </si>
  <si>
    <t>Apartment Building (66 apt, high energy efficiency)</t>
  </si>
  <si>
    <t>Apartment Building (80 apt, low energy efficiency)</t>
  </si>
  <si>
    <t>EV Charging Profile</t>
  </si>
  <si>
    <t>Own, standard format, 15 min</t>
  </si>
  <si>
    <t>Database, Renewables.Ninja</t>
  </si>
  <si>
    <t>Own, standard format, 1 hour</t>
  </si>
  <si>
    <t>Own, PVGIS</t>
  </si>
  <si>
    <t>Own, Renewables.Ninja</t>
  </si>
  <si>
    <t>Fixed</t>
  </si>
  <si>
    <t>Own Fixed</t>
  </si>
  <si>
    <t>Own Dynamic</t>
  </si>
  <si>
    <t>Green Tariff</t>
  </si>
  <si>
    <t>Bilohorodka (Kyiv Oblast)</t>
  </si>
  <si>
    <t>BESS Degradation, %</t>
  </si>
  <si>
    <t>Urban</t>
  </si>
  <si>
    <t>Instantaneous</t>
  </si>
  <si>
    <t>Linear</t>
  </si>
  <si>
    <t>Existing BESS Installed Capacity, kWh</t>
  </si>
  <si>
    <t>Projected BESS Installed Capacity,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</si>
</sst>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left"/>
    </xf>
    <xf numFmtId="0" fontId="5" fillId="0" borderId="0" xfId="0" applyFont="1"/>
    <xf numFmtId="0" fontId="0" fillId="0" borderId="0" xfId="0" applyAlignment="1">
      <alignment horizontal="left"/>
    </xf>
    <xf numFmtId="0" fontId="0" fillId="3" borderId="0" xfId="0" applyFill="1"/>
    <xf numFmtId="0" fontId="1" fillId="3" borderId="0" xfId="0" applyFont="1" applyFill="1"/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9"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A2D49B-FB23-47A7-B21F-72A1546B81D4}" name="Table15" displayName="Table15" ref="A3:E4" totalsRowShown="0" headerRowDxfId="8" dataDxfId="7">
  <tableColumns count="5">
    <tableColumn id="1" xr3:uid="{4E866236-1B1B-4B5F-A87E-ABA8105F57ED}" name="Country" dataDxfId="6"/>
    <tableColumn id="2" xr3:uid="{3DA5AF2D-30E5-4B8A-8896-DA5A8EB24EA6}" name="City" dataDxfId="5"/>
    <tableColumn id="3" xr3:uid="{0EDDC756-FFCE-4620-97AF-9290A3F32213}" name="Area Type" dataDxfId="4"/>
    <tableColumn id="4" xr3:uid="{79B1826C-5508-4527-8CEC-BC0FBC5C29B6}" name="From Grid" dataDxfId="3"/>
    <tableColumn id="5" xr3:uid="{885D0989-B150-4F7D-A126-B7388D723EF1}" name="To Grid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6E6ACB8-D04A-42D6-A407-A1393AE54EAE}" name="Table26" displayName="Table26" ref="A34:G85" totalsRowShown="0" headerRowDxfId="1">
  <tableColumns count="7">
    <tableColumn id="1" xr3:uid="{85C2BE0E-21C5-487C-96ED-5CC0C0C0DEFC}" name="ECom Participant ID"/>
    <tableColumn id="2" xr3:uid="{D089EFEC-F9EF-419A-A51B-0B2DE6B054E1}" name="Category"/>
    <tableColumn id="3" xr3:uid="{985BBAE7-8C69-4B23-B138-F2A34A67FCC7}" name="Type"/>
    <tableColumn id="4" xr3:uid="{3866E70B-3452-41A4-A53D-36D8A7897B86}" name="Number"/>
    <tableColumn id="6" xr3:uid="{4856774B-5F38-424C-B072-57814266B688}" name="Annual consumption, kWh"/>
    <tableColumn id="5" xr3:uid="{3B0EEA86-A2F1-4610-84DE-89BF674D2478}" name="Load Profile"/>
    <tableColumn id="7" xr3:uid="{05751F0E-1D66-466B-B156-CC045B38BA18}" name="Comment"/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647E11-D4C6-4EC6-89DA-DCAC52964B5C}" name="Table87" displayName="Table87" ref="A9:B29" totalsRowShown="0" headerRowDxfId="0">
  <tableColumns count="2">
    <tableColumn id="1" xr3:uid="{891C0A39-2288-4C14-9DA1-08433B7A514E}" name="Asset Type"/>
    <tableColumn id="2" xr3:uid="{FB012CD7-D10B-4B0B-869F-7CB46705BB4B}" name="Parameter/Value"/>
  </tableColumns>
  <tableStyleInfo name="TableStyleMedium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B3DFC1C-1FE9-4A4D-A83A-A15CC8498CD3}" name="Table38" displayName="Table38" ref="A90:B99" totalsRowShown="0">
  <tableColumns count="2">
    <tableColumn id="1" xr3:uid="{0BBE565F-4AE5-4263-8FD6-5D85BF83F969}" name="Parameter"/>
    <tableColumn id="2" xr3:uid="{E493AE2B-3133-4066-A032-49CC049FDD5F}" name="Value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DDED2-CF6E-44D9-A376-C489EACF722B}">
  <dimension ref="A1:H99"/>
  <sheetViews>
    <sheetView tabSelected="1" zoomScale="115" zoomScaleNormal="115" workbookViewId="0">
      <selection activeCell="A30" sqref="A30"/>
    </sheetView>
  </sheetViews>
  <sheetFormatPr defaultRowHeight="14.5" x14ac:dyDescent="0.35"/>
  <cols>
    <col min="1" max="1" width="32.7265625" customWidth="1"/>
    <col min="2" max="2" width="32.54296875" customWidth="1"/>
    <col min="3" max="3" width="48.54296875" customWidth="1"/>
    <col min="4" max="4" width="25.26953125" customWidth="1"/>
    <col min="5" max="5" width="24.26953125" customWidth="1"/>
    <col min="6" max="6" width="27.453125" customWidth="1"/>
    <col min="7" max="7" width="27.81640625" customWidth="1"/>
  </cols>
  <sheetData>
    <row r="1" spans="1:5" ht="21" x14ac:dyDescent="0.5">
      <c r="A1" s="3" t="s">
        <v>0</v>
      </c>
    </row>
    <row r="3" spans="1:5" x14ac:dyDescent="0.35">
      <c r="A3" s="5" t="s">
        <v>1</v>
      </c>
      <c r="B3" s="5" t="s">
        <v>2</v>
      </c>
      <c r="C3" s="5" t="s">
        <v>3</v>
      </c>
      <c r="D3" t="s">
        <v>4</v>
      </c>
      <c r="E3" t="s">
        <v>5</v>
      </c>
    </row>
    <row r="4" spans="1:5" x14ac:dyDescent="0.35">
      <c r="A4" s="7" t="s">
        <v>115</v>
      </c>
      <c r="B4" s="7" t="s">
        <v>131</v>
      </c>
      <c r="C4" s="7" t="s">
        <v>225</v>
      </c>
      <c r="D4" s="7" t="s">
        <v>8</v>
      </c>
      <c r="E4" s="7" t="s">
        <v>8</v>
      </c>
    </row>
    <row r="7" spans="1:5" ht="21" x14ac:dyDescent="0.5">
      <c r="A7" s="3" t="s">
        <v>9</v>
      </c>
    </row>
    <row r="9" spans="1:5" x14ac:dyDescent="0.35">
      <c r="A9" s="7" t="s">
        <v>10</v>
      </c>
      <c r="B9" s="7" t="s">
        <v>11</v>
      </c>
    </row>
    <row r="10" spans="1:5" x14ac:dyDescent="0.35">
      <c r="A10" t="s">
        <v>12</v>
      </c>
      <c r="B10">
        <v>10</v>
      </c>
    </row>
    <row r="11" spans="1:5" x14ac:dyDescent="0.35">
      <c r="A11" t="s">
        <v>13</v>
      </c>
      <c r="B11">
        <v>90</v>
      </c>
    </row>
    <row r="12" spans="1:5" x14ac:dyDescent="0.35">
      <c r="A12" s="4" t="s">
        <v>14</v>
      </c>
      <c r="B12" t="s">
        <v>215</v>
      </c>
      <c r="C12" s="6" t="s">
        <v>16</v>
      </c>
    </row>
    <row r="13" spans="1:5" x14ac:dyDescent="0.35">
      <c r="A13" s="8"/>
      <c r="B13" s="8"/>
      <c r="C13" s="6"/>
    </row>
    <row r="14" spans="1:5" x14ac:dyDescent="0.35">
      <c r="A14" t="s">
        <v>17</v>
      </c>
      <c r="B14">
        <v>5</v>
      </c>
    </row>
    <row r="15" spans="1:5" x14ac:dyDescent="0.35">
      <c r="A15" t="s">
        <v>18</v>
      </c>
      <c r="B15">
        <v>5</v>
      </c>
    </row>
    <row r="16" spans="1:5" x14ac:dyDescent="0.35">
      <c r="A16" t="s">
        <v>19</v>
      </c>
      <c r="B16" t="s">
        <v>20</v>
      </c>
      <c r="C16" s="6" t="s">
        <v>16</v>
      </c>
    </row>
    <row r="17" spans="1:8" x14ac:dyDescent="0.35">
      <c r="A17" t="s">
        <v>21</v>
      </c>
      <c r="B17" t="s">
        <v>20</v>
      </c>
      <c r="C17" s="6" t="s">
        <v>16</v>
      </c>
    </row>
    <row r="18" spans="1:8" x14ac:dyDescent="0.35">
      <c r="A18" t="s">
        <v>22</v>
      </c>
      <c r="B18" t="s">
        <v>20</v>
      </c>
      <c r="C18" s="6" t="s">
        <v>16</v>
      </c>
    </row>
    <row r="19" spans="1:8" x14ac:dyDescent="0.35">
      <c r="A19" t="s">
        <v>23</v>
      </c>
      <c r="B19" t="s">
        <v>20</v>
      </c>
      <c r="C19" s="6" t="s">
        <v>16</v>
      </c>
    </row>
    <row r="20" spans="1:8" x14ac:dyDescent="0.35">
      <c r="A20" t="s">
        <v>24</v>
      </c>
      <c r="B20">
        <v>75</v>
      </c>
      <c r="C20" s="10" t="str">
        <f>IF(COUNTA(B20:B23)=4, IF(SUM(B20:B23)&lt;&gt;100, "Input Error!
The sum of different EV charging patterns must be equal to 100%.", ""), "")</f>
        <v/>
      </c>
    </row>
    <row r="21" spans="1:8" x14ac:dyDescent="0.35">
      <c r="A21" t="s">
        <v>25</v>
      </c>
      <c r="B21">
        <v>10</v>
      </c>
      <c r="C21" s="10"/>
    </row>
    <row r="22" spans="1:8" x14ac:dyDescent="0.35">
      <c r="A22" t="s">
        <v>26</v>
      </c>
      <c r="B22">
        <v>10</v>
      </c>
      <c r="C22" s="10"/>
    </row>
    <row r="23" spans="1:8" x14ac:dyDescent="0.35">
      <c r="A23" t="s">
        <v>27</v>
      </c>
      <c r="B23">
        <v>5</v>
      </c>
      <c r="C23" s="10"/>
    </row>
    <row r="24" spans="1:8" x14ac:dyDescent="0.35">
      <c r="A24" t="s">
        <v>28</v>
      </c>
      <c r="B24">
        <v>40</v>
      </c>
    </row>
    <row r="25" spans="1:8" x14ac:dyDescent="0.35">
      <c r="A25" t="s">
        <v>29</v>
      </c>
      <c r="B25" t="s">
        <v>20</v>
      </c>
      <c r="C25" s="6" t="s">
        <v>16</v>
      </c>
    </row>
    <row r="26" spans="1:8" x14ac:dyDescent="0.35">
      <c r="A26" t="s">
        <v>30</v>
      </c>
      <c r="B26" t="s">
        <v>20</v>
      </c>
      <c r="C26" s="6" t="s">
        <v>16</v>
      </c>
    </row>
    <row r="27" spans="1:8" x14ac:dyDescent="0.35">
      <c r="A27" s="9"/>
      <c r="B27" s="9"/>
    </row>
    <row r="28" spans="1:8" x14ac:dyDescent="0.35">
      <c r="A28" t="s">
        <v>228</v>
      </c>
      <c r="B28" s="4">
        <v>0</v>
      </c>
      <c r="C28" s="4"/>
      <c r="D28" s="4"/>
      <c r="E28" s="4"/>
      <c r="F28" s="4"/>
      <c r="G28" s="4"/>
      <c r="H28" s="4"/>
    </row>
    <row r="29" spans="1:8" x14ac:dyDescent="0.35">
      <c r="A29" t="s">
        <v>229</v>
      </c>
      <c r="B29" s="4">
        <v>40</v>
      </c>
      <c r="C29" s="4"/>
      <c r="D29" s="4"/>
      <c r="E29" s="4"/>
      <c r="F29" s="4"/>
      <c r="G29" s="4"/>
      <c r="H29" s="4"/>
    </row>
    <row r="30" spans="1:8" x14ac:dyDescent="0.35">
      <c r="A30" s="4"/>
      <c r="B30" s="4"/>
      <c r="C30" s="4"/>
      <c r="D30" s="4"/>
      <c r="E30" s="4"/>
      <c r="F30" s="4"/>
      <c r="G30" s="4"/>
      <c r="H30" s="4"/>
    </row>
    <row r="31" spans="1:8" x14ac:dyDescent="0.35">
      <c r="A31" s="1"/>
    </row>
    <row r="32" spans="1:8" ht="21" x14ac:dyDescent="0.5">
      <c r="A32" s="3" t="s">
        <v>31</v>
      </c>
    </row>
    <row r="34" spans="1:7" x14ac:dyDescent="0.35">
      <c r="A34" s="5" t="s">
        <v>32</v>
      </c>
      <c r="B34" s="5" t="s">
        <v>33</v>
      </c>
      <c r="C34" s="5" t="s">
        <v>34</v>
      </c>
      <c r="D34" s="5" t="s">
        <v>35</v>
      </c>
      <c r="E34" s="5" t="s">
        <v>36</v>
      </c>
      <c r="F34" s="5" t="s">
        <v>37</v>
      </c>
      <c r="G34" s="5" t="s">
        <v>38</v>
      </c>
    </row>
    <row r="35" spans="1:7" x14ac:dyDescent="0.35">
      <c r="A35" t="s">
        <v>39</v>
      </c>
      <c r="B35" t="s">
        <v>40</v>
      </c>
      <c r="C35" t="s">
        <v>197</v>
      </c>
      <c r="D35">
        <v>1</v>
      </c>
      <c r="E35">
        <v>8000</v>
      </c>
      <c r="F35" t="s">
        <v>20</v>
      </c>
    </row>
    <row r="36" spans="1:7" x14ac:dyDescent="0.35">
      <c r="A36" t="s">
        <v>42</v>
      </c>
      <c r="B36" t="s">
        <v>40</v>
      </c>
      <c r="C36" t="s">
        <v>197</v>
      </c>
      <c r="D36">
        <v>1</v>
      </c>
      <c r="E36">
        <v>8000</v>
      </c>
      <c r="F36" t="s">
        <v>20</v>
      </c>
      <c r="G36"/>
    </row>
    <row r="37" spans="1:7" x14ac:dyDescent="0.35">
      <c r="A37" t="s">
        <v>46</v>
      </c>
      <c r="B37" t="s">
        <v>40</v>
      </c>
      <c r="C37" t="s">
        <v>197</v>
      </c>
      <c r="D37">
        <v>1</v>
      </c>
      <c r="E37">
        <v>9000</v>
      </c>
      <c r="F37" t="s">
        <v>20</v>
      </c>
    </row>
    <row r="38" spans="1:7" x14ac:dyDescent="0.35">
      <c r="A38" t="s">
        <v>48</v>
      </c>
      <c r="B38" t="s">
        <v>40</v>
      </c>
      <c r="C38" t="s">
        <v>54</v>
      </c>
      <c r="D38">
        <v>1</v>
      </c>
      <c r="E38">
        <v>15000</v>
      </c>
      <c r="F38" t="s">
        <v>20</v>
      </c>
    </row>
    <row r="39" spans="1:7" x14ac:dyDescent="0.35">
      <c r="A39" t="s">
        <v>50</v>
      </c>
      <c r="B39" t="s">
        <v>40</v>
      </c>
      <c r="C39" t="s">
        <v>54</v>
      </c>
      <c r="D39">
        <v>1</v>
      </c>
      <c r="E39">
        <v>15000</v>
      </c>
      <c r="F39" t="s">
        <v>20</v>
      </c>
    </row>
    <row r="40" spans="1:7" x14ac:dyDescent="0.35">
      <c r="A40" t="s">
        <v>53</v>
      </c>
      <c r="B40" t="s">
        <v>40</v>
      </c>
      <c r="C40" t="s">
        <v>54</v>
      </c>
      <c r="D40">
        <v>1</v>
      </c>
      <c r="E40">
        <v>15000</v>
      </c>
      <c r="F40" t="s">
        <v>20</v>
      </c>
      <c r="G40"/>
    </row>
    <row r="41" spans="1:7" x14ac:dyDescent="0.35">
      <c r="A41" t="s">
        <v>56</v>
      </c>
      <c r="B41" t="s">
        <v>40</v>
      </c>
      <c r="C41" t="s">
        <v>54</v>
      </c>
      <c r="D41">
        <v>1</v>
      </c>
      <c r="E41">
        <v>15000</v>
      </c>
      <c r="F41" t="s">
        <v>20</v>
      </c>
    </row>
    <row r="42" spans="1:7" x14ac:dyDescent="0.35">
      <c r="A42" t="s">
        <v>57</v>
      </c>
      <c r="B42" t="s">
        <v>40</v>
      </c>
      <c r="C42" t="s">
        <v>54</v>
      </c>
      <c r="D42">
        <v>1</v>
      </c>
      <c r="E42">
        <v>15000</v>
      </c>
      <c r="F42" t="s">
        <v>20</v>
      </c>
    </row>
    <row r="43" spans="1:7" x14ac:dyDescent="0.35">
      <c r="A43" t="s">
        <v>58</v>
      </c>
      <c r="B43" t="s">
        <v>40</v>
      </c>
      <c r="C43" t="s">
        <v>200</v>
      </c>
      <c r="D43">
        <v>1</v>
      </c>
      <c r="E43">
        <v>25000</v>
      </c>
      <c r="F43" t="s">
        <v>20</v>
      </c>
    </row>
    <row r="44" spans="1:7" x14ac:dyDescent="0.35">
      <c r="A44" t="s">
        <v>59</v>
      </c>
      <c r="B44" t="s">
        <v>40</v>
      </c>
      <c r="C44" t="s">
        <v>200</v>
      </c>
      <c r="D44">
        <v>1</v>
      </c>
      <c r="E44">
        <v>25000</v>
      </c>
      <c r="F44" t="s">
        <v>20</v>
      </c>
    </row>
    <row r="45" spans="1:7" hidden="1" x14ac:dyDescent="0.35">
      <c r="A45" t="s">
        <v>60</v>
      </c>
    </row>
    <row r="46" spans="1:7" hidden="1" x14ac:dyDescent="0.35">
      <c r="A46" t="s">
        <v>61</v>
      </c>
    </row>
    <row r="47" spans="1:7" hidden="1" x14ac:dyDescent="0.35">
      <c r="A47" t="s">
        <v>62</v>
      </c>
    </row>
    <row r="48" spans="1:7" hidden="1" x14ac:dyDescent="0.35">
      <c r="A48" t="s">
        <v>63</v>
      </c>
    </row>
    <row r="49" spans="1:1" hidden="1" x14ac:dyDescent="0.35">
      <c r="A49" t="s">
        <v>64</v>
      </c>
    </row>
    <row r="50" spans="1:1" hidden="1" x14ac:dyDescent="0.35">
      <c r="A50" t="s">
        <v>65</v>
      </c>
    </row>
    <row r="51" spans="1:1" hidden="1" x14ac:dyDescent="0.35">
      <c r="A51" t="s">
        <v>66</v>
      </c>
    </row>
    <row r="52" spans="1:1" hidden="1" x14ac:dyDescent="0.35">
      <c r="A52" t="s">
        <v>67</v>
      </c>
    </row>
    <row r="53" spans="1:1" hidden="1" x14ac:dyDescent="0.35">
      <c r="A53" t="s">
        <v>68</v>
      </c>
    </row>
    <row r="54" spans="1:1" hidden="1" x14ac:dyDescent="0.35">
      <c r="A54" t="s">
        <v>69</v>
      </c>
    </row>
    <row r="55" spans="1:1" hidden="1" x14ac:dyDescent="0.35">
      <c r="A55" t="s">
        <v>70</v>
      </c>
    </row>
    <row r="56" spans="1:1" hidden="1" x14ac:dyDescent="0.35">
      <c r="A56" t="s">
        <v>71</v>
      </c>
    </row>
    <row r="57" spans="1:1" hidden="1" x14ac:dyDescent="0.35">
      <c r="A57" t="s">
        <v>72</v>
      </c>
    </row>
    <row r="58" spans="1:1" hidden="1" x14ac:dyDescent="0.35">
      <c r="A58" t="s">
        <v>73</v>
      </c>
    </row>
    <row r="59" spans="1:1" hidden="1" x14ac:dyDescent="0.35">
      <c r="A59" t="s">
        <v>74</v>
      </c>
    </row>
    <row r="60" spans="1:1" hidden="1" x14ac:dyDescent="0.35">
      <c r="A60" t="s">
        <v>75</v>
      </c>
    </row>
    <row r="61" spans="1:1" hidden="1" x14ac:dyDescent="0.35">
      <c r="A61" t="s">
        <v>76</v>
      </c>
    </row>
    <row r="62" spans="1:1" hidden="1" x14ac:dyDescent="0.35">
      <c r="A62" t="s">
        <v>77</v>
      </c>
    </row>
    <row r="63" spans="1:1" hidden="1" x14ac:dyDescent="0.35">
      <c r="A63" t="s">
        <v>78</v>
      </c>
    </row>
    <row r="64" spans="1:1" hidden="1" x14ac:dyDescent="0.35">
      <c r="A64" t="s">
        <v>79</v>
      </c>
    </row>
    <row r="65" spans="1:1" hidden="1" x14ac:dyDescent="0.35">
      <c r="A65" t="s">
        <v>80</v>
      </c>
    </row>
    <row r="66" spans="1:1" hidden="1" x14ac:dyDescent="0.35">
      <c r="A66" t="s">
        <v>81</v>
      </c>
    </row>
    <row r="67" spans="1:1" hidden="1" x14ac:dyDescent="0.35">
      <c r="A67" t="s">
        <v>82</v>
      </c>
    </row>
    <row r="68" spans="1:1" hidden="1" x14ac:dyDescent="0.35">
      <c r="A68" t="s">
        <v>83</v>
      </c>
    </row>
    <row r="69" spans="1:1" hidden="1" x14ac:dyDescent="0.35">
      <c r="A69" t="s">
        <v>84</v>
      </c>
    </row>
    <row r="70" spans="1:1" hidden="1" x14ac:dyDescent="0.35">
      <c r="A70" t="s">
        <v>85</v>
      </c>
    </row>
    <row r="71" spans="1:1" hidden="1" x14ac:dyDescent="0.35">
      <c r="A71" t="s">
        <v>86</v>
      </c>
    </row>
    <row r="72" spans="1:1" hidden="1" x14ac:dyDescent="0.35">
      <c r="A72" t="s">
        <v>87</v>
      </c>
    </row>
    <row r="73" spans="1:1" hidden="1" x14ac:dyDescent="0.35">
      <c r="A73" t="s">
        <v>88</v>
      </c>
    </row>
    <row r="74" spans="1:1" hidden="1" x14ac:dyDescent="0.35">
      <c r="A74" t="s">
        <v>89</v>
      </c>
    </row>
    <row r="75" spans="1:1" hidden="1" x14ac:dyDescent="0.35">
      <c r="A75" t="s">
        <v>90</v>
      </c>
    </row>
    <row r="76" spans="1:1" hidden="1" x14ac:dyDescent="0.35">
      <c r="A76" t="s">
        <v>91</v>
      </c>
    </row>
    <row r="77" spans="1:1" hidden="1" x14ac:dyDescent="0.35">
      <c r="A77" t="s">
        <v>92</v>
      </c>
    </row>
    <row r="78" spans="1:1" hidden="1" x14ac:dyDescent="0.35">
      <c r="A78" t="s">
        <v>93</v>
      </c>
    </row>
    <row r="79" spans="1:1" hidden="1" x14ac:dyDescent="0.35">
      <c r="A79" t="s">
        <v>94</v>
      </c>
    </row>
    <row r="80" spans="1:1" hidden="1" x14ac:dyDescent="0.35">
      <c r="A80" t="s">
        <v>95</v>
      </c>
    </row>
    <row r="81" spans="1:3" hidden="1" x14ac:dyDescent="0.35">
      <c r="A81" t="s">
        <v>96</v>
      </c>
    </row>
    <row r="82" spans="1:3" hidden="1" x14ac:dyDescent="0.35">
      <c r="A82" t="s">
        <v>97</v>
      </c>
    </row>
    <row r="83" spans="1:3" hidden="1" x14ac:dyDescent="0.35">
      <c r="A83" t="s">
        <v>98</v>
      </c>
    </row>
    <row r="84" spans="1:3" hidden="1" x14ac:dyDescent="0.35">
      <c r="A84" t="s">
        <v>99</v>
      </c>
    </row>
    <row r="85" spans="1:3" x14ac:dyDescent="0.35">
      <c r="A85" s="6" t="s">
        <v>100</v>
      </c>
    </row>
    <row r="86" spans="1:3" x14ac:dyDescent="0.35">
      <c r="A86" s="6"/>
    </row>
    <row r="88" spans="1:3" ht="21" x14ac:dyDescent="0.5">
      <c r="A88" s="3" t="s">
        <v>101</v>
      </c>
    </row>
    <row r="90" spans="1:3" x14ac:dyDescent="0.35">
      <c r="A90" t="s">
        <v>102</v>
      </c>
      <c r="B90" t="s">
        <v>103</v>
      </c>
    </row>
    <row r="91" spans="1:3" x14ac:dyDescent="0.35">
      <c r="A91" t="s">
        <v>104</v>
      </c>
      <c r="B91">
        <v>0.13976</v>
      </c>
      <c r="C91" s="6" t="s">
        <v>105</v>
      </c>
    </row>
    <row r="92" spans="1:3" x14ac:dyDescent="0.35">
      <c r="A92" t="s">
        <v>106</v>
      </c>
      <c r="B92">
        <v>1.06</v>
      </c>
      <c r="C92" s="6" t="s">
        <v>105</v>
      </c>
    </row>
    <row r="93" spans="1:3" x14ac:dyDescent="0.35">
      <c r="A93" t="s">
        <v>109</v>
      </c>
      <c r="B93">
        <v>10</v>
      </c>
      <c r="C93" s="6"/>
    </row>
    <row r="94" spans="1:3" x14ac:dyDescent="0.35">
      <c r="A94" s="4" t="s">
        <v>107</v>
      </c>
      <c r="B94">
        <v>1</v>
      </c>
      <c r="C94" s="6" t="s">
        <v>108</v>
      </c>
    </row>
    <row r="95" spans="1:3" x14ac:dyDescent="0.35">
      <c r="A95" t="s">
        <v>224</v>
      </c>
      <c r="B95">
        <v>1</v>
      </c>
      <c r="C95" s="6" t="s">
        <v>108</v>
      </c>
    </row>
    <row r="96" spans="1:3" x14ac:dyDescent="0.35">
      <c r="A96" t="s">
        <v>110</v>
      </c>
      <c r="B96">
        <v>20</v>
      </c>
      <c r="C96" s="6" t="s">
        <v>16</v>
      </c>
    </row>
    <row r="97" spans="1:3" x14ac:dyDescent="0.35">
      <c r="A97" t="s">
        <v>111</v>
      </c>
      <c r="B97" t="s">
        <v>227</v>
      </c>
      <c r="C97" s="6" t="s">
        <v>16</v>
      </c>
    </row>
    <row r="98" spans="1:3" x14ac:dyDescent="0.35">
      <c r="A98" t="s">
        <v>112</v>
      </c>
      <c r="B98" t="s">
        <v>226</v>
      </c>
      <c r="C98" s="6" t="s">
        <v>16</v>
      </c>
    </row>
    <row r="99" spans="1:3" x14ac:dyDescent="0.35">
      <c r="A99" t="s">
        <v>113</v>
      </c>
      <c r="B99">
        <v>2</v>
      </c>
      <c r="C99" s="6" t="s">
        <v>114</v>
      </c>
    </row>
  </sheetData>
  <mergeCells count="1">
    <mergeCell ref="C20:C23"/>
  </mergeCells>
  <phoneticPr fontId="7" type="noConversion"/>
  <dataValidations count="9">
    <dataValidation type="decimal" allowBlank="1" showInputMessage="1" showErrorMessage="1" errorTitle="Invalid input!" error="Please eneter a number between 1 and 10." sqref="B94:B95" xr:uid="{FA61D122-BFCD-4881-B5BB-4C0D31BB685C}">
      <formula1>0.1</formula1>
      <formula2>2</formula2>
    </dataValidation>
    <dataValidation type="whole" operator="lessThanOrEqual" allowBlank="1" showInputMessage="1" showErrorMessage="1" errorTitle="Invalid input!" error="Please enter a number between 0 and 100." sqref="B20:B24" xr:uid="{1D69A000-BF9D-4B5F-89B6-89CEAA909AD5}">
      <formula1>100</formula1>
    </dataValidation>
    <dataValidation type="list" allowBlank="1" showInputMessage="1" showErrorMessage="1" sqref="C4" xr:uid="{C2AF3DFC-E142-41B2-BA43-ED955D260791}">
      <formula1>"Urban, Suburban, Rural"</formula1>
    </dataValidation>
    <dataValidation type="list" allowBlank="1" showInputMessage="1" showErrorMessage="1" errorTitle="Invalid input!" error="Please eneter a number between 1 and 10." sqref="B96" xr:uid="{F5A5953A-23AB-4D93-A4B4-920A604C23C7}">
      <formula1>"5, 10, 12, 15, 18, 20"</formula1>
    </dataValidation>
    <dataValidation type="list" allowBlank="1" showInputMessage="1" showErrorMessage="1" sqref="D4" xr:uid="{5F2F3235-6680-4598-83D2-24809360D5F1}">
      <formula1>"Fixed, Dynamic, Own Fixed, Own Dynamic"</formula1>
    </dataValidation>
    <dataValidation type="whole" allowBlank="1" showInputMessage="1" showErrorMessage="1" errorTitle="Invalid input!" error="Please eneter a number between 1 and 10." sqref="B13" xr:uid="{40FF5F4F-3AB0-4074-A587-DE4E7645F7EF}">
      <formula1>1</formula1>
      <formula2>10</formula2>
    </dataValidation>
    <dataValidation type="decimal" allowBlank="1" showInputMessage="1" showErrorMessage="1" errorTitle="Invalid input!" error="Please eneter a number between 0 and 25." sqref="B93" xr:uid="{032E8955-BC30-400D-84F0-6928C94A70EC}">
      <formula1>0</formula1>
      <formula2>25</formula2>
    </dataValidation>
    <dataValidation type="list" allowBlank="1" showInputMessage="1" showErrorMessage="1" sqref="B97:B98" xr:uid="{68FE1467-A178-44E9-B8EA-57BA32DE6444}">
      <formula1>"Instantaneous, Linear, Exponential"</formula1>
    </dataValidation>
    <dataValidation type="decimal" allowBlank="1" showInputMessage="1" showErrorMessage="1" errorTitle="Invalid input!" error="Please eneter a number between 0.01 and 100." sqref="B99" xr:uid="{E0429EA1-9885-4720-A81A-AE00769A7C06}">
      <formula1>0.01</formula1>
      <formula2>100</formula2>
    </dataValidation>
  </dataValidation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3EF404D4-4390-473A-808E-5CAB26F2D011}">
          <x14:formula1>
            <xm:f>OFFSET(Consumers!$A$1,1,MATCH(B35,Consumers!$1:$1,0)-1,COUNTA(OFFSET(Consumers!$A$1,1,MATCH(B35,Consumers!$1:$1,0)-1,100)))</xm:f>
          </x14:formula1>
          <xm:sqref>C35:C85</xm:sqref>
        </x14:dataValidation>
        <x14:dataValidation type="list" allowBlank="1" showInputMessage="1" showErrorMessage="1" xr:uid="{08E71CCB-94DA-4F52-B6E9-922CF334CC3D}">
          <x14:formula1>
            <xm:f>OFFSET(Consumers!$A$1,0,0,1,COUNTA(Consumers!$1:$1))</xm:f>
          </x14:formula1>
          <xm:sqref>B35:B85</xm:sqref>
        </x14:dataValidation>
        <x14:dataValidation type="list" allowBlank="1" showInputMessage="1" showErrorMessage="1" xr:uid="{F00C851D-C48A-4321-AC92-E80DBD256BE6}">
          <x14:formula1>
            <xm:f>OFFSET(Geography!$A$1,1,MATCH(A2,Geography!$1:$1,0)-1,COUNTA(OFFSET(Geography!$A$1,1,MATCH(A2,Geography!$1:$1,0)-1,100)))</xm:f>
          </x14:formula1>
          <xm:sqref>B2 B4</xm:sqref>
        </x14:dataValidation>
        <x14:dataValidation type="list" allowBlank="1" showInputMessage="1" showErrorMessage="1" xr:uid="{2DAF51EA-6008-4819-8A86-A385517DD9B9}">
          <x14:formula1>
            <xm:f>OFFSET(Geography!$A$1,0,0,1,COUNTA(Geography!$1:$1))</xm:f>
          </x14:formula1>
          <xm:sqref>A2 A4</xm:sqref>
        </x14:dataValidation>
        <x14:dataValidation type="list" allowBlank="1" showInputMessage="1" showErrorMessage="1" xr:uid="{CB4441EA-32EF-4F5E-9BDD-E43B3EDDED70}">
          <x14:formula1>
            <xm:f>Profiles!$C$2:$C$4</xm:f>
          </x14:formula1>
          <xm:sqref>B16:B19 B25:B26</xm:sqref>
        </x14:dataValidation>
        <x14:dataValidation type="list" allowBlank="1" showInputMessage="1" showErrorMessage="1" xr:uid="{8166ACE6-36E7-40AF-992B-16A88F006A3C}">
          <x14:formula1>
            <xm:f>Profiles!$B$2:$B$7</xm:f>
          </x14:formula1>
          <xm:sqref>B12</xm:sqref>
        </x14:dataValidation>
        <x14:dataValidation type="list" allowBlank="1" showInputMessage="1" showErrorMessage="1" xr:uid="{CD1A3BB7-43E6-4F00-ADAE-7C142FF1801A}">
          <x14:formula1>
            <xm:f>Profiles!$A$2:$A$4</xm:f>
          </x14:formula1>
          <xm:sqref>F35:F85</xm:sqref>
        </x14:dataValidation>
        <x14:dataValidation type="list" allowBlank="1" showInputMessage="1" showErrorMessage="1" xr:uid="{79F770B3-4B1F-422F-BDA1-6B2596E75966}">
          <x14:formula1>
            <xm:f>OFFSET(Tariffs!$A$1,1,MATCH(A4,Tariffs!$1:$1,0)-1,COUNTA(OFFSET(Tariffs!$A$1,1,MATCH(A4,Tariffs!$1:$1,0)-1,100)))</xm:f>
          </x14:formula1>
          <xm:sqref>E4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1"/>
  <sheetViews>
    <sheetView workbookViewId="0"/>
  </sheetViews>
  <sheetFormatPr defaultRowHeight="14.5" x14ac:dyDescent="0.35"/>
  <cols>
    <col min="1" max="1" width="36" customWidth="1"/>
    <col min="2" max="2" width="30.54296875" customWidth="1"/>
  </cols>
  <sheetData>
    <row r="1" spans="1:2" x14ac:dyDescent="0.35">
      <c r="A1" s="1" t="s">
        <v>6</v>
      </c>
      <c r="B1" s="1" t="s">
        <v>115</v>
      </c>
    </row>
    <row r="2" spans="1:2" x14ac:dyDescent="0.35">
      <c r="A2" t="s">
        <v>223</v>
      </c>
      <c r="B2" t="s">
        <v>116</v>
      </c>
    </row>
    <row r="3" spans="1:2" x14ac:dyDescent="0.35">
      <c r="A3" t="s">
        <v>117</v>
      </c>
      <c r="B3" t="s">
        <v>118</v>
      </c>
    </row>
    <row r="4" spans="1:2" x14ac:dyDescent="0.35">
      <c r="A4" t="s">
        <v>7</v>
      </c>
      <c r="B4" t="s">
        <v>119</v>
      </c>
    </row>
    <row r="5" spans="1:2" x14ac:dyDescent="0.35">
      <c r="A5" t="s">
        <v>120</v>
      </c>
      <c r="B5" t="s">
        <v>121</v>
      </c>
    </row>
    <row r="6" spans="1:2" x14ac:dyDescent="0.35">
      <c r="A6" t="s">
        <v>122</v>
      </c>
      <c r="B6" t="s">
        <v>123</v>
      </c>
    </row>
    <row r="7" spans="1:2" x14ac:dyDescent="0.35">
      <c r="A7" t="s">
        <v>124</v>
      </c>
      <c r="B7" t="s">
        <v>125</v>
      </c>
    </row>
    <row r="8" spans="1:2" x14ac:dyDescent="0.35">
      <c r="A8" t="s">
        <v>126</v>
      </c>
      <c r="B8" t="s">
        <v>127</v>
      </c>
    </row>
    <row r="9" spans="1:2" x14ac:dyDescent="0.35">
      <c r="A9" t="s">
        <v>128</v>
      </c>
      <c r="B9" t="s">
        <v>129</v>
      </c>
    </row>
    <row r="10" spans="1:2" x14ac:dyDescent="0.35">
      <c r="A10" t="s">
        <v>130</v>
      </c>
      <c r="B10" t="s">
        <v>131</v>
      </c>
    </row>
    <row r="11" spans="1:2" x14ac:dyDescent="0.35">
      <c r="A11" t="s">
        <v>132</v>
      </c>
      <c r="B11" t="s">
        <v>133</v>
      </c>
    </row>
    <row r="12" spans="1:2" x14ac:dyDescent="0.35">
      <c r="A12" t="s">
        <v>134</v>
      </c>
      <c r="B12" t="s">
        <v>135</v>
      </c>
    </row>
    <row r="13" spans="1:2" x14ac:dyDescent="0.35">
      <c r="A13" t="s">
        <v>136</v>
      </c>
      <c r="B13" t="s">
        <v>137</v>
      </c>
    </row>
    <row r="14" spans="1:2" x14ac:dyDescent="0.35">
      <c r="A14" t="s">
        <v>138</v>
      </c>
      <c r="B14" t="s">
        <v>139</v>
      </c>
    </row>
    <row r="15" spans="1:2" x14ac:dyDescent="0.35">
      <c r="A15" t="s">
        <v>140</v>
      </c>
    </row>
    <row r="16" spans="1:2" x14ac:dyDescent="0.35">
      <c r="A16" t="s">
        <v>141</v>
      </c>
    </row>
    <row r="17" spans="1:1" x14ac:dyDescent="0.35">
      <c r="A17" t="s">
        <v>142</v>
      </c>
    </row>
    <row r="18" spans="1:1" x14ac:dyDescent="0.35">
      <c r="A18" t="s">
        <v>143</v>
      </c>
    </row>
    <row r="19" spans="1:1" x14ac:dyDescent="0.35">
      <c r="A19" t="s">
        <v>144</v>
      </c>
    </row>
    <row r="20" spans="1:1" x14ac:dyDescent="0.35">
      <c r="A20" t="s">
        <v>145</v>
      </c>
    </row>
    <row r="21" spans="1:1" x14ac:dyDescent="0.35">
      <c r="A21" t="s">
        <v>146</v>
      </c>
    </row>
    <row r="22" spans="1:1" x14ac:dyDescent="0.35">
      <c r="A22" t="s">
        <v>147</v>
      </c>
    </row>
    <row r="23" spans="1:1" x14ac:dyDescent="0.35">
      <c r="A23" t="s">
        <v>148</v>
      </c>
    </row>
    <row r="24" spans="1:1" x14ac:dyDescent="0.35">
      <c r="A24" t="s">
        <v>149</v>
      </c>
    </row>
    <row r="25" spans="1:1" x14ac:dyDescent="0.35">
      <c r="A25" t="s">
        <v>150</v>
      </c>
    </row>
    <row r="26" spans="1:1" x14ac:dyDescent="0.35">
      <c r="A26" t="s">
        <v>151</v>
      </c>
    </row>
    <row r="27" spans="1:1" x14ac:dyDescent="0.35">
      <c r="A27" t="s">
        <v>152</v>
      </c>
    </row>
    <row r="28" spans="1:1" x14ac:dyDescent="0.35">
      <c r="A28" t="s">
        <v>153</v>
      </c>
    </row>
    <row r="29" spans="1:1" x14ac:dyDescent="0.35">
      <c r="A29" t="s">
        <v>154</v>
      </c>
    </row>
    <row r="30" spans="1:1" x14ac:dyDescent="0.35">
      <c r="A30" t="s">
        <v>155</v>
      </c>
    </row>
    <row r="31" spans="1:1" x14ac:dyDescent="0.35">
      <c r="A31" t="s">
        <v>156</v>
      </c>
    </row>
    <row r="32" spans="1:1" x14ac:dyDescent="0.35">
      <c r="A32" t="s">
        <v>157</v>
      </c>
    </row>
    <row r="33" spans="1:1" x14ac:dyDescent="0.35">
      <c r="A33" t="s">
        <v>158</v>
      </c>
    </row>
    <row r="34" spans="1:1" x14ac:dyDescent="0.35">
      <c r="A34" t="s">
        <v>159</v>
      </c>
    </row>
    <row r="35" spans="1:1" x14ac:dyDescent="0.35">
      <c r="A35" t="s">
        <v>160</v>
      </c>
    </row>
    <row r="36" spans="1:1" x14ac:dyDescent="0.35">
      <c r="A36" t="s">
        <v>161</v>
      </c>
    </row>
    <row r="37" spans="1:1" x14ac:dyDescent="0.35">
      <c r="A37" t="s">
        <v>162</v>
      </c>
    </row>
    <row r="38" spans="1:1" x14ac:dyDescent="0.35">
      <c r="A38" t="s">
        <v>163</v>
      </c>
    </row>
    <row r="39" spans="1:1" x14ac:dyDescent="0.35">
      <c r="A39" t="s">
        <v>164</v>
      </c>
    </row>
    <row r="40" spans="1:1" x14ac:dyDescent="0.35">
      <c r="A40" t="s">
        <v>165</v>
      </c>
    </row>
    <row r="41" spans="1:1" x14ac:dyDescent="0.35">
      <c r="A41" t="s">
        <v>166</v>
      </c>
    </row>
    <row r="42" spans="1:1" x14ac:dyDescent="0.35">
      <c r="A42" t="s">
        <v>167</v>
      </c>
    </row>
    <row r="43" spans="1:1" x14ac:dyDescent="0.35">
      <c r="A43" t="s">
        <v>168</v>
      </c>
    </row>
    <row r="44" spans="1:1" x14ac:dyDescent="0.35">
      <c r="A44" t="s">
        <v>169</v>
      </c>
    </row>
    <row r="45" spans="1:1" x14ac:dyDescent="0.35">
      <c r="A45" t="s">
        <v>170</v>
      </c>
    </row>
    <row r="46" spans="1:1" x14ac:dyDescent="0.35">
      <c r="A46" t="s">
        <v>171</v>
      </c>
    </row>
    <row r="47" spans="1:1" x14ac:dyDescent="0.35">
      <c r="A47" t="s">
        <v>172</v>
      </c>
    </row>
    <row r="48" spans="1:1" x14ac:dyDescent="0.35">
      <c r="A48" t="s">
        <v>173</v>
      </c>
    </row>
    <row r="49" spans="1:1" x14ac:dyDescent="0.35">
      <c r="A49" t="s">
        <v>174</v>
      </c>
    </row>
    <row r="50" spans="1:1" x14ac:dyDescent="0.35">
      <c r="A50" t="s">
        <v>175</v>
      </c>
    </row>
    <row r="51" spans="1:1" x14ac:dyDescent="0.35">
      <c r="A51" t="s">
        <v>176</v>
      </c>
    </row>
    <row r="52" spans="1:1" x14ac:dyDescent="0.35">
      <c r="A52" t="s">
        <v>177</v>
      </c>
    </row>
    <row r="53" spans="1:1" x14ac:dyDescent="0.35">
      <c r="A53" t="s">
        <v>178</v>
      </c>
    </row>
    <row r="54" spans="1:1" x14ac:dyDescent="0.35">
      <c r="A54" t="s">
        <v>179</v>
      </c>
    </row>
    <row r="55" spans="1:1" x14ac:dyDescent="0.35">
      <c r="A55" t="s">
        <v>180</v>
      </c>
    </row>
    <row r="56" spans="1:1" x14ac:dyDescent="0.35">
      <c r="A56" t="s">
        <v>181</v>
      </c>
    </row>
    <row r="57" spans="1:1" x14ac:dyDescent="0.35">
      <c r="A57" t="s">
        <v>182</v>
      </c>
    </row>
    <row r="58" spans="1:1" x14ac:dyDescent="0.35">
      <c r="A58" t="s">
        <v>183</v>
      </c>
    </row>
    <row r="59" spans="1:1" x14ac:dyDescent="0.35">
      <c r="A59" t="s">
        <v>184</v>
      </c>
    </row>
    <row r="60" spans="1:1" x14ac:dyDescent="0.35">
      <c r="A60" t="s">
        <v>185</v>
      </c>
    </row>
    <row r="61" spans="1:1" x14ac:dyDescent="0.35">
      <c r="A61" t="s">
        <v>186</v>
      </c>
    </row>
    <row r="62" spans="1:1" x14ac:dyDescent="0.35">
      <c r="A62" t="s">
        <v>187</v>
      </c>
    </row>
    <row r="63" spans="1:1" x14ac:dyDescent="0.35">
      <c r="A63" t="s">
        <v>188</v>
      </c>
    </row>
    <row r="64" spans="1:1" x14ac:dyDescent="0.35">
      <c r="A64" t="s">
        <v>189</v>
      </c>
    </row>
    <row r="65" spans="1:1" x14ac:dyDescent="0.35">
      <c r="A65" t="s">
        <v>190</v>
      </c>
    </row>
    <row r="66" spans="1:1" x14ac:dyDescent="0.35">
      <c r="A66" t="s">
        <v>191</v>
      </c>
    </row>
    <row r="67" spans="1:1" x14ac:dyDescent="0.35">
      <c r="A67" t="s">
        <v>192</v>
      </c>
    </row>
    <row r="68" spans="1:1" x14ac:dyDescent="0.35">
      <c r="A68" t="s">
        <v>193</v>
      </c>
    </row>
    <row r="69" spans="1:1" x14ac:dyDescent="0.35">
      <c r="A69" t="s">
        <v>194</v>
      </c>
    </row>
    <row r="70" spans="1:1" x14ac:dyDescent="0.35">
      <c r="A70" t="s">
        <v>195</v>
      </c>
    </row>
    <row r="71" spans="1:1" x14ac:dyDescent="0.35">
      <c r="A71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/>
  </sheetViews>
  <sheetFormatPr defaultRowHeight="14.5" x14ac:dyDescent="0.35"/>
  <cols>
    <col min="1" max="1" width="44.81640625" customWidth="1"/>
    <col min="2" max="2" width="32.54296875" customWidth="1"/>
    <col min="3" max="3" width="31.81640625" customWidth="1"/>
    <col min="4" max="4" width="34.453125" customWidth="1"/>
  </cols>
  <sheetData>
    <row r="1" spans="1:4" x14ac:dyDescent="0.35">
      <c r="A1" s="2" t="s">
        <v>40</v>
      </c>
      <c r="B1" s="2" t="s">
        <v>43</v>
      </c>
      <c r="C1" s="2" t="s">
        <v>47</v>
      </c>
      <c r="D1" s="2" t="s">
        <v>51</v>
      </c>
    </row>
    <row r="2" spans="1:4" x14ac:dyDescent="0.35">
      <c r="A2" t="s">
        <v>197</v>
      </c>
      <c r="B2" t="s">
        <v>198</v>
      </c>
      <c r="C2" t="s">
        <v>49</v>
      </c>
      <c r="D2" t="s">
        <v>52</v>
      </c>
    </row>
    <row r="3" spans="1:4" x14ac:dyDescent="0.35">
      <c r="A3" t="s">
        <v>54</v>
      </c>
      <c r="B3" t="s">
        <v>44</v>
      </c>
      <c r="C3" t="s">
        <v>199</v>
      </c>
    </row>
    <row r="4" spans="1:4" x14ac:dyDescent="0.35">
      <c r="A4" t="s">
        <v>200</v>
      </c>
      <c r="B4" t="s">
        <v>201</v>
      </c>
    </row>
    <row r="5" spans="1:4" x14ac:dyDescent="0.35">
      <c r="A5" t="s">
        <v>202</v>
      </c>
      <c r="B5" t="s">
        <v>203</v>
      </c>
    </row>
    <row r="6" spans="1:4" x14ac:dyDescent="0.35">
      <c r="A6" t="s">
        <v>204</v>
      </c>
    </row>
    <row r="7" spans="1:4" x14ac:dyDescent="0.35">
      <c r="A7" t="s">
        <v>41</v>
      </c>
    </row>
    <row r="8" spans="1:4" x14ac:dyDescent="0.35">
      <c r="A8" t="s">
        <v>205</v>
      </c>
    </row>
    <row r="9" spans="1:4" x14ac:dyDescent="0.35">
      <c r="A9" t="s">
        <v>206</v>
      </c>
    </row>
    <row r="10" spans="1:4" x14ac:dyDescent="0.35">
      <c r="A10" t="s">
        <v>207</v>
      </c>
    </row>
    <row r="11" spans="1:4" x14ac:dyDescent="0.35">
      <c r="A11" t="s">
        <v>208</v>
      </c>
    </row>
    <row r="12" spans="1:4" x14ac:dyDescent="0.35">
      <c r="A12" t="s">
        <v>209</v>
      </c>
    </row>
    <row r="13" spans="1:4" x14ac:dyDescent="0.35">
      <c r="A13" t="s">
        <v>210</v>
      </c>
    </row>
    <row r="14" spans="1:4" x14ac:dyDescent="0.35">
      <c r="A14" t="s">
        <v>211</v>
      </c>
    </row>
    <row r="15" spans="1:4" x14ac:dyDescent="0.35">
      <c r="A15" t="s">
        <v>212</v>
      </c>
    </row>
  </sheetData>
  <dataConsolidate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defaultRowHeight="14.5" x14ac:dyDescent="0.35"/>
  <cols>
    <col min="1" max="1" width="25" customWidth="1"/>
    <col min="2" max="2" width="30.1796875" customWidth="1"/>
    <col min="3" max="3" width="26.54296875" customWidth="1"/>
    <col min="4" max="4" width="14.81640625" customWidth="1"/>
  </cols>
  <sheetData>
    <row r="1" spans="1:4" x14ac:dyDescent="0.35">
      <c r="A1" s="1" t="s">
        <v>37</v>
      </c>
      <c r="B1" s="1" t="s">
        <v>14</v>
      </c>
      <c r="C1" s="1" t="s">
        <v>213</v>
      </c>
      <c r="D1" s="1"/>
    </row>
    <row r="2" spans="1:4" x14ac:dyDescent="0.35">
      <c r="A2" t="s">
        <v>20</v>
      </c>
      <c r="B2" t="s">
        <v>15</v>
      </c>
      <c r="C2" t="s">
        <v>20</v>
      </c>
    </row>
    <row r="3" spans="1:4" x14ac:dyDescent="0.35">
      <c r="A3" t="s">
        <v>214</v>
      </c>
      <c r="B3" t="s">
        <v>215</v>
      </c>
      <c r="C3" t="s">
        <v>214</v>
      </c>
    </row>
    <row r="4" spans="1:4" x14ac:dyDescent="0.35">
      <c r="A4" t="s">
        <v>216</v>
      </c>
      <c r="B4" t="s">
        <v>217</v>
      </c>
      <c r="C4" t="s">
        <v>216</v>
      </c>
    </row>
    <row r="5" spans="1:4" x14ac:dyDescent="0.35">
      <c r="B5" t="s">
        <v>218</v>
      </c>
    </row>
    <row r="6" spans="1:4" x14ac:dyDescent="0.35">
      <c r="B6" t="s">
        <v>214</v>
      </c>
    </row>
    <row r="7" spans="1:4" x14ac:dyDescent="0.35">
      <c r="B7" t="s">
        <v>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E3020-877C-44B6-A795-BAE870AD74C1}">
  <dimension ref="A1:D6"/>
  <sheetViews>
    <sheetView workbookViewId="0"/>
  </sheetViews>
  <sheetFormatPr defaultRowHeight="14.5" x14ac:dyDescent="0.35"/>
  <cols>
    <col min="1" max="1" width="14" customWidth="1"/>
    <col min="2" max="2" width="14.7265625" customWidth="1"/>
    <col min="3" max="3" width="12.26953125" customWidth="1"/>
    <col min="4" max="4" width="11.54296875" customWidth="1"/>
  </cols>
  <sheetData>
    <row r="1" spans="1:4" x14ac:dyDescent="0.35">
      <c r="A1" s="1" t="s">
        <v>6</v>
      </c>
      <c r="B1" s="1" t="s">
        <v>115</v>
      </c>
      <c r="C1" s="1"/>
      <c r="D1" s="1"/>
    </row>
    <row r="2" spans="1:4" x14ac:dyDescent="0.35">
      <c r="A2" t="s">
        <v>219</v>
      </c>
      <c r="B2" t="s">
        <v>219</v>
      </c>
    </row>
    <row r="3" spans="1:4" x14ac:dyDescent="0.35">
      <c r="A3" t="s">
        <v>8</v>
      </c>
      <c r="B3" t="s">
        <v>8</v>
      </c>
    </row>
    <row r="4" spans="1:4" x14ac:dyDescent="0.35">
      <c r="A4" t="s">
        <v>220</v>
      </c>
      <c r="B4" t="s">
        <v>220</v>
      </c>
    </row>
    <row r="5" spans="1:4" x14ac:dyDescent="0.35">
      <c r="A5" t="s">
        <v>221</v>
      </c>
      <c r="B5" t="s">
        <v>221</v>
      </c>
    </row>
    <row r="6" spans="1:4" x14ac:dyDescent="0.35">
      <c r="A6" t="s">
        <v>222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8A5869-AD3E-48D0-B804-482CE0F964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</vt:lpstr>
      <vt:lpstr>Geography</vt:lpstr>
      <vt:lpstr>Consumers</vt:lpstr>
      <vt:lpstr>Profiles</vt:lpstr>
      <vt:lpstr>Tariffs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2025-10-07T14:15:38Z</dcterms:created>
  <dcterms:modified xsi:type="dcterms:W3CDTF">2026-09-22T14:28:17Z</dcterms:modified>
  <cp:category/>
  <cp:contentStatus/>
</cp:coreProperties>
</file>